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</sheets>
  <definedNames/>
  <calcPr/>
</workbook>
</file>

<file path=xl/sharedStrings.xml><?xml version="1.0" encoding="utf-8"?>
<sst xmlns="http://schemas.openxmlformats.org/spreadsheetml/2006/main" count="120" uniqueCount="81">
  <si>
    <t>Pracownik</t>
  </si>
  <si>
    <t>Koszt firmy</t>
  </si>
  <si>
    <t>Koszt firmy z urlopem</t>
  </si>
  <si>
    <t>Wypłata netto</t>
  </si>
  <si>
    <t>Stawka</t>
  </si>
  <si>
    <t>Liczba godzin</t>
  </si>
  <si>
    <t>Stawka * Liczba godzin</t>
  </si>
  <si>
    <t>Dni urlopu</t>
  </si>
  <si>
    <t>Roczny koszt  urlopu</t>
  </si>
  <si>
    <t>Koszt miesięcznego urlopu</t>
  </si>
  <si>
    <t>Czysty zarobek</t>
  </si>
  <si>
    <t>Forma wypłaty</t>
  </si>
  <si>
    <t>Adnotacja</t>
  </si>
  <si>
    <t>Spółka opłacająca</t>
  </si>
  <si>
    <t>Fibner Sebastian</t>
  </si>
  <si>
    <t>zlecenie studenckie</t>
  </si>
  <si>
    <t>nic</t>
  </si>
  <si>
    <t>Forycki Wiktor</t>
  </si>
  <si>
    <t>Garbarczyk Mateusz DEV</t>
  </si>
  <si>
    <t>uop</t>
  </si>
  <si>
    <t>Edelwise</t>
  </si>
  <si>
    <t>Jabczyński Maciej</t>
  </si>
  <si>
    <t>Totalbet</t>
  </si>
  <si>
    <t>Kaźmierski Maciej</t>
  </si>
  <si>
    <t>Kłakulak Anna</t>
  </si>
  <si>
    <t>Szkoła bez granic</t>
  </si>
  <si>
    <t>Łatkowski Adam</t>
  </si>
  <si>
    <t>Indent Pro</t>
  </si>
  <si>
    <t>Łukowska Natalia</t>
  </si>
  <si>
    <t>Axon Dao</t>
  </si>
  <si>
    <t>Matusiak Jędrzej</t>
  </si>
  <si>
    <t>SMI</t>
  </si>
  <si>
    <t>Nowaczyk Karol</t>
  </si>
  <si>
    <t>Piasecki Miłosz</t>
  </si>
  <si>
    <t>Pietras Nikodem</t>
  </si>
  <si>
    <t>Twoja WWW</t>
  </si>
  <si>
    <t>Radomski David</t>
  </si>
  <si>
    <t>zlecenie</t>
  </si>
  <si>
    <t>-10 zl posrednik</t>
  </si>
  <si>
    <t>MTC Marine</t>
  </si>
  <si>
    <t>Rutecka Julia</t>
  </si>
  <si>
    <t>Staszak Konrad</t>
  </si>
  <si>
    <t>Szygenda Wiktoria</t>
  </si>
  <si>
    <t>Uciechowski Michał</t>
  </si>
  <si>
    <t>Wrotecki Krzysztof</t>
  </si>
  <si>
    <t>WOOBOX</t>
  </si>
  <si>
    <t>Wrubliński Kamil</t>
  </si>
  <si>
    <t>Wasiński Wiktor</t>
  </si>
  <si>
    <t>Ławniczak Kamil</t>
  </si>
  <si>
    <t>Łukowski Dominik</t>
  </si>
  <si>
    <t>Kaźmierski Marek</t>
  </si>
  <si>
    <t>Mateusz SZEF GARBARCZYK</t>
  </si>
  <si>
    <t>b2b</t>
  </si>
  <si>
    <t>szef</t>
  </si>
  <si>
    <t>Kuba Dojutrek</t>
  </si>
  <si>
    <t>b2b - android - 50% haracz</t>
  </si>
  <si>
    <t>B2b najemnik</t>
  </si>
  <si>
    <t>Roman Lukash</t>
  </si>
  <si>
    <t>140 - 110 nasze, 30 do podzialu z mariuszem 50% 50%</t>
  </si>
  <si>
    <t>Zoliński Bartosz</t>
  </si>
  <si>
    <t>Yaroslav Lysanets</t>
  </si>
  <si>
    <t>? prawdopodobnie 110</t>
  </si>
  <si>
    <t>Wojtek Konury</t>
  </si>
  <si>
    <t>Garbarczyk Lidia</t>
  </si>
  <si>
    <t>Stec Kacper</t>
  </si>
  <si>
    <t>okup mariusz</t>
  </si>
  <si>
    <t>okup</t>
  </si>
  <si>
    <t xml:space="preserve">Koszty stałe </t>
  </si>
  <si>
    <t>Konrad</t>
  </si>
  <si>
    <t>Natalia</t>
  </si>
  <si>
    <t>Marcin</t>
  </si>
  <si>
    <t>Mati Dev</t>
  </si>
  <si>
    <t>Grzegorz</t>
  </si>
  <si>
    <t>Konrad Dev Mobile</t>
  </si>
  <si>
    <t>Edusigma</t>
  </si>
  <si>
    <t>Ania</t>
  </si>
  <si>
    <t>Wiktoria</t>
  </si>
  <si>
    <t>Sebastian</t>
  </si>
  <si>
    <t>Wiktor Szczęsny</t>
  </si>
  <si>
    <t>Marek</t>
  </si>
  <si>
    <t>Dominik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</si>
</sst>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&quot; zł&quot;_-;\-* #,##0.00&quot; zł&quot;_-;_-* \-??&quot; zł&quot;_-;_-@"/>
    <numFmt numFmtId="165" formatCode="#,##0.00\ [$zł-415]"/>
  </numFmts>
  <fonts count="6">
    <font>
      <sz val="10.0"/>
      <color rgb="FF000000"/>
      <name val="Arial"/>
      <scheme val="minor"/>
    </font>
    <font>
      <b/>
      <color theme="1"/>
      <name val="Calibri"/>
    </font>
    <font>
      <color theme="1"/>
      <name val="Calibri"/>
    </font>
    <font>
      <sz val="9.0"/>
      <color rgb="FF2E3035"/>
      <name val="SantanderMicroTextW05"/>
    </font>
    <font>
      <sz val="9.0"/>
      <color rgb="FF2E3035"/>
      <name val="Arial"/>
    </font>
    <font>
      <strike/>
      <sz val="9.0"/>
      <color rgb="FF2E3035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8F8F8"/>
        <bgColor rgb="FFF8F8F8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2" fontId="2" numFmtId="165" xfId="0" applyAlignment="1" applyFill="1" applyFont="1" applyNumberFormat="1">
      <alignment horizontal="right" readingOrder="0" vertical="bottom"/>
    </xf>
    <xf borderId="0" fillId="3" fontId="2" numFmtId="165" xfId="0" applyAlignment="1" applyFill="1" applyFont="1" applyNumberFormat="1">
      <alignment horizontal="right" vertical="bottom"/>
    </xf>
    <xf borderId="0" fillId="4" fontId="2" numFmtId="165" xfId="0" applyAlignment="1" applyFill="1" applyFont="1" applyNumberFormat="1">
      <alignment horizontal="right" vertical="bottom"/>
    </xf>
    <xf borderId="0" fillId="5" fontId="2" numFmtId="165" xfId="0" applyAlignment="1" applyFill="1" applyFont="1" applyNumberFormat="1">
      <alignment horizontal="right" vertical="bottom"/>
    </xf>
    <xf borderId="0" fillId="6" fontId="2" numFmtId="165" xfId="0" applyAlignment="1" applyFill="1" applyFont="1" applyNumberFormat="1">
      <alignment horizontal="right" vertical="bottom"/>
    </xf>
    <xf borderId="0" fillId="7" fontId="2" numFmtId="165" xfId="0" applyAlignment="1" applyFill="1" applyFont="1" applyNumberFormat="1">
      <alignment horizontal="right" vertical="bottom"/>
    </xf>
    <xf borderId="0" fillId="6" fontId="3" numFmtId="0" xfId="0" applyAlignment="1" applyFont="1">
      <alignment vertical="bottom"/>
    </xf>
    <xf borderId="0" fillId="6" fontId="4" numFmtId="0" xfId="0" applyAlignment="1" applyFont="1">
      <alignment vertical="bottom"/>
    </xf>
    <xf borderId="0" fillId="0" fontId="2" numFmtId="165" xfId="0" applyAlignment="1" applyFont="1" applyNumberFormat="1">
      <alignment vertical="bottom"/>
    </xf>
    <xf borderId="0" fillId="8" fontId="2" numFmtId="0" xfId="0" applyAlignment="1" applyFill="1" applyFont="1">
      <alignment vertical="bottom"/>
    </xf>
    <xf borderId="0" fillId="0" fontId="2" numFmtId="165" xfId="0" applyAlignment="1" applyFont="1" applyNumberFormat="1">
      <alignment horizontal="right" readingOrder="0" vertical="bottom"/>
    </xf>
    <xf borderId="0" fillId="2" fontId="2" numFmtId="165" xfId="0" applyAlignment="1" applyFont="1" applyNumberFormat="1">
      <alignment horizontal="right" vertical="bottom"/>
    </xf>
    <xf borderId="0" fillId="6" fontId="2" numFmtId="0" xfId="0" applyAlignment="1" applyFont="1">
      <alignment vertical="bottom"/>
    </xf>
    <xf borderId="0" fillId="6" fontId="4" numFmtId="0" xfId="0" applyAlignment="1" applyFont="1">
      <alignment horizontal="right" vertical="bottom"/>
    </xf>
    <xf borderId="0" fillId="6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</row>
    <row r="2">
      <c r="A2" s="3" t="s">
        <v>14</v>
      </c>
      <c r="B2" s="4">
        <v>5616.93</v>
      </c>
      <c r="C2" s="4">
        <f t="shared" ref="C2:C22" si="1">B2+J2</f>
        <v>6085.0075</v>
      </c>
      <c r="D2" s="5">
        <v>3516.92</v>
      </c>
      <c r="E2" s="6">
        <v>30.0</v>
      </c>
      <c r="F2" s="5">
        <v>160.0</v>
      </c>
      <c r="G2" s="4">
        <f t="shared" ref="G2:G4" si="2">E2*F2</f>
        <v>4800</v>
      </c>
      <c r="H2" s="5">
        <v>20.0</v>
      </c>
      <c r="I2" s="4">
        <f t="shared" ref="I2:I22" si="3">H2*8*B2/F2</f>
        <v>5616.93</v>
      </c>
      <c r="J2" s="4">
        <f t="shared" ref="J2:J22" si="4">I2/12</f>
        <v>468.0775</v>
      </c>
      <c r="K2" s="4">
        <f t="shared" ref="K2:K22" si="5">G2-C2</f>
        <v>-1285.0075</v>
      </c>
      <c r="L2" s="3" t="s">
        <v>15</v>
      </c>
      <c r="M2" s="3"/>
      <c r="N2" s="3" t="s">
        <v>16</v>
      </c>
      <c r="O2" s="3"/>
      <c r="P2" s="3"/>
      <c r="Q2" s="3"/>
      <c r="R2" s="3"/>
      <c r="S2" s="3"/>
    </row>
    <row r="3">
      <c r="A3" s="3" t="s">
        <v>17</v>
      </c>
      <c r="B3" s="4">
        <v>5000.0</v>
      </c>
      <c r="C3" s="4">
        <f t="shared" si="1"/>
        <v>5416.666667</v>
      </c>
      <c r="D3" s="5">
        <v>5000.0</v>
      </c>
      <c r="E3" s="6">
        <v>30.0</v>
      </c>
      <c r="F3" s="5">
        <v>160.0</v>
      </c>
      <c r="G3" s="4">
        <f t="shared" si="2"/>
        <v>4800</v>
      </c>
      <c r="H3" s="5">
        <v>20.0</v>
      </c>
      <c r="I3" s="4">
        <f t="shared" si="3"/>
        <v>5000</v>
      </c>
      <c r="J3" s="4">
        <f t="shared" si="4"/>
        <v>416.6666667</v>
      </c>
      <c r="K3" s="4">
        <f t="shared" si="5"/>
        <v>-616.6666667</v>
      </c>
      <c r="L3" s="3" t="s">
        <v>15</v>
      </c>
      <c r="M3" s="3"/>
      <c r="N3" s="3" t="s">
        <v>16</v>
      </c>
      <c r="O3" s="3"/>
      <c r="P3" s="3"/>
      <c r="Q3" s="3"/>
      <c r="R3" s="3"/>
      <c r="S3" s="3"/>
    </row>
    <row r="4">
      <c r="A4" s="3" t="s">
        <v>18</v>
      </c>
      <c r="B4" s="4">
        <v>14428.96</v>
      </c>
      <c r="C4" s="4">
        <f t="shared" si="1"/>
        <v>15631.37333</v>
      </c>
      <c r="D4" s="5">
        <v>9494.02</v>
      </c>
      <c r="E4" s="7">
        <v>163.0</v>
      </c>
      <c r="F4" s="5">
        <v>160.0</v>
      </c>
      <c r="G4" s="4">
        <f t="shared" si="2"/>
        <v>26080</v>
      </c>
      <c r="H4" s="5">
        <v>20.0</v>
      </c>
      <c r="I4" s="4">
        <f t="shared" si="3"/>
        <v>14428.96</v>
      </c>
      <c r="J4" s="4">
        <f t="shared" si="4"/>
        <v>1202.413333</v>
      </c>
      <c r="K4" s="4">
        <f t="shared" si="5"/>
        <v>10448.62667</v>
      </c>
      <c r="L4" s="3" t="s">
        <v>19</v>
      </c>
      <c r="M4" s="3"/>
      <c r="N4" s="3" t="s">
        <v>20</v>
      </c>
      <c r="O4" s="3"/>
      <c r="P4" s="3"/>
      <c r="Q4" s="3"/>
      <c r="R4" s="3"/>
      <c r="S4" s="3"/>
    </row>
    <row r="5">
      <c r="A5" s="3" t="s">
        <v>21</v>
      </c>
      <c r="B5" s="4">
        <v>22800.0</v>
      </c>
      <c r="C5" s="4">
        <f t="shared" si="1"/>
        <v>24700</v>
      </c>
      <c r="D5" s="5">
        <v>18000.0</v>
      </c>
      <c r="E5" s="8">
        <v>170.0</v>
      </c>
      <c r="F5" s="5">
        <v>160.0</v>
      </c>
      <c r="G5" s="4">
        <f t="shared" ref="G5:G6" si="6">E5*164</f>
        <v>27880</v>
      </c>
      <c r="H5" s="5">
        <v>20.0</v>
      </c>
      <c r="I5" s="4">
        <f t="shared" si="3"/>
        <v>22800</v>
      </c>
      <c r="J5" s="4">
        <f t="shared" si="4"/>
        <v>1900</v>
      </c>
      <c r="K5" s="4">
        <f t="shared" si="5"/>
        <v>3180</v>
      </c>
      <c r="L5" s="3" t="s">
        <v>15</v>
      </c>
      <c r="M5" s="3"/>
      <c r="N5" s="3" t="s">
        <v>22</v>
      </c>
      <c r="O5" s="3"/>
      <c r="P5" s="3"/>
      <c r="Q5" s="3"/>
      <c r="R5" s="3"/>
      <c r="S5" s="3"/>
    </row>
    <row r="6">
      <c r="A6" s="3" t="s">
        <v>23</v>
      </c>
      <c r="B6" s="4">
        <v>22800.0</v>
      </c>
      <c r="C6" s="4">
        <f t="shared" si="1"/>
        <v>24700</v>
      </c>
      <c r="D6" s="5">
        <v>18000.0</v>
      </c>
      <c r="E6" s="8">
        <v>170.0</v>
      </c>
      <c r="F6" s="5">
        <v>160.0</v>
      </c>
      <c r="G6" s="4">
        <f t="shared" si="6"/>
        <v>27880</v>
      </c>
      <c r="H6" s="5">
        <v>20.0</v>
      </c>
      <c r="I6" s="4">
        <f t="shared" si="3"/>
        <v>22800</v>
      </c>
      <c r="J6" s="4">
        <f t="shared" si="4"/>
        <v>1900</v>
      </c>
      <c r="K6" s="4">
        <f t="shared" si="5"/>
        <v>3180</v>
      </c>
      <c r="L6" s="3" t="s">
        <v>15</v>
      </c>
      <c r="M6" s="3"/>
      <c r="N6" s="3" t="s">
        <v>22</v>
      </c>
      <c r="O6" s="3"/>
      <c r="P6" s="3"/>
      <c r="Q6" s="3"/>
      <c r="R6" s="3"/>
      <c r="S6" s="3"/>
    </row>
    <row r="7">
      <c r="A7" s="3" t="s">
        <v>24</v>
      </c>
      <c r="B7" s="4">
        <v>9500.0</v>
      </c>
      <c r="C7" s="4">
        <f t="shared" si="1"/>
        <v>10291.66667</v>
      </c>
      <c r="D7" s="5">
        <v>9500.0</v>
      </c>
      <c r="E7" s="6">
        <v>30.0</v>
      </c>
      <c r="F7" s="5">
        <v>160.0</v>
      </c>
      <c r="G7" s="4">
        <f t="shared" ref="G7:G22" si="7">E7*F7</f>
        <v>4800</v>
      </c>
      <c r="H7" s="5">
        <v>20.0</v>
      </c>
      <c r="I7" s="4">
        <f t="shared" si="3"/>
        <v>9500</v>
      </c>
      <c r="J7" s="4">
        <f t="shared" si="4"/>
        <v>791.6666667</v>
      </c>
      <c r="K7" s="4">
        <f t="shared" si="5"/>
        <v>-5491.666667</v>
      </c>
      <c r="L7" s="3" t="s">
        <v>15</v>
      </c>
      <c r="M7" s="3"/>
      <c r="N7" s="3" t="s">
        <v>25</v>
      </c>
      <c r="O7" s="3"/>
      <c r="P7" s="3"/>
      <c r="Q7" s="3"/>
      <c r="R7" s="3"/>
      <c r="S7" s="3"/>
    </row>
    <row r="8">
      <c r="A8" s="3" t="s">
        <v>26</v>
      </c>
      <c r="B8" s="4">
        <v>8240.0</v>
      </c>
      <c r="C8" s="4">
        <f t="shared" si="1"/>
        <v>8926.666667</v>
      </c>
      <c r="D8" s="5">
        <v>5000.0</v>
      </c>
      <c r="E8" s="8">
        <v>75.0</v>
      </c>
      <c r="F8" s="5">
        <v>160.0</v>
      </c>
      <c r="G8" s="4">
        <f t="shared" si="7"/>
        <v>12000</v>
      </c>
      <c r="H8" s="5">
        <v>20.0</v>
      </c>
      <c r="I8" s="4">
        <f t="shared" si="3"/>
        <v>8240</v>
      </c>
      <c r="J8" s="4">
        <f t="shared" si="4"/>
        <v>686.6666667</v>
      </c>
      <c r="K8" s="4">
        <f t="shared" si="5"/>
        <v>3073.333333</v>
      </c>
      <c r="L8" s="3" t="s">
        <v>19</v>
      </c>
      <c r="M8" s="3"/>
      <c r="N8" s="3" t="s">
        <v>27</v>
      </c>
      <c r="O8" s="3"/>
      <c r="P8" s="3"/>
      <c r="Q8" s="3"/>
      <c r="R8" s="3"/>
      <c r="S8" s="3"/>
    </row>
    <row r="9">
      <c r="A9" s="3" t="s">
        <v>28</v>
      </c>
      <c r="B9" s="4">
        <v>10740.28</v>
      </c>
      <c r="C9" s="4">
        <f t="shared" si="1"/>
        <v>11635.30333</v>
      </c>
      <c r="D9" s="5">
        <v>7000.0</v>
      </c>
      <c r="E9" s="9">
        <v>130.0</v>
      </c>
      <c r="F9" s="5">
        <v>160.0</v>
      </c>
      <c r="G9" s="4">
        <f t="shared" si="7"/>
        <v>20800</v>
      </c>
      <c r="H9" s="5">
        <v>20.0</v>
      </c>
      <c r="I9" s="4">
        <f t="shared" si="3"/>
        <v>10740.28</v>
      </c>
      <c r="J9" s="4">
        <f t="shared" si="4"/>
        <v>895.0233333</v>
      </c>
      <c r="K9" s="4">
        <f t="shared" si="5"/>
        <v>9164.696667</v>
      </c>
      <c r="L9" s="3" t="s">
        <v>19</v>
      </c>
      <c r="M9" s="3"/>
      <c r="N9" s="3" t="s">
        <v>29</v>
      </c>
      <c r="O9" s="3"/>
      <c r="P9" s="3"/>
      <c r="Q9" s="3"/>
      <c r="R9" s="3"/>
      <c r="S9" s="3"/>
    </row>
    <row r="10">
      <c r="A10" s="3" t="s">
        <v>30</v>
      </c>
      <c r="B10" s="4">
        <v>7665.19</v>
      </c>
      <c r="C10" s="4">
        <f t="shared" si="1"/>
        <v>8303.955833</v>
      </c>
      <c r="D10" s="5">
        <v>4671.0</v>
      </c>
      <c r="E10" s="8">
        <v>70.0</v>
      </c>
      <c r="F10" s="5">
        <v>160.0</v>
      </c>
      <c r="G10" s="4">
        <f t="shared" si="7"/>
        <v>11200</v>
      </c>
      <c r="H10" s="5">
        <v>20.0</v>
      </c>
      <c r="I10" s="4">
        <f t="shared" si="3"/>
        <v>7665.19</v>
      </c>
      <c r="J10" s="4">
        <f t="shared" si="4"/>
        <v>638.7658333</v>
      </c>
      <c r="K10" s="4">
        <f t="shared" si="5"/>
        <v>2896.044167</v>
      </c>
      <c r="L10" s="3" t="s">
        <v>19</v>
      </c>
      <c r="M10" s="3"/>
      <c r="N10" s="3" t="s">
        <v>31</v>
      </c>
      <c r="O10" s="3"/>
      <c r="P10" s="3"/>
      <c r="Q10" s="3"/>
      <c r="R10" s="3"/>
      <c r="S10" s="3"/>
    </row>
    <row r="11">
      <c r="A11" s="3" t="s">
        <v>32</v>
      </c>
      <c r="B11" s="4">
        <v>8253.05</v>
      </c>
      <c r="C11" s="4">
        <f t="shared" si="1"/>
        <v>8940.804167</v>
      </c>
      <c r="D11" s="5">
        <v>4236.0</v>
      </c>
      <c r="E11" s="8">
        <v>100.0</v>
      </c>
      <c r="F11" s="5">
        <v>160.0</v>
      </c>
      <c r="G11" s="4">
        <f t="shared" si="7"/>
        <v>16000</v>
      </c>
      <c r="H11" s="5">
        <v>20.0</v>
      </c>
      <c r="I11" s="4">
        <f t="shared" si="3"/>
        <v>8253.05</v>
      </c>
      <c r="J11" s="4">
        <f t="shared" si="4"/>
        <v>687.7541667</v>
      </c>
      <c r="K11" s="4">
        <f t="shared" si="5"/>
        <v>7059.195833</v>
      </c>
      <c r="L11" s="3" t="s">
        <v>19</v>
      </c>
      <c r="M11" s="3"/>
      <c r="N11" s="3" t="s">
        <v>22</v>
      </c>
      <c r="O11" s="3"/>
      <c r="P11" s="3"/>
      <c r="Q11" s="3"/>
      <c r="R11" s="3"/>
      <c r="S11" s="3"/>
    </row>
    <row r="12">
      <c r="A12" s="3" t="s">
        <v>33</v>
      </c>
      <c r="B12" s="4">
        <v>9000.0</v>
      </c>
      <c r="C12" s="4">
        <f t="shared" si="1"/>
        <v>9750</v>
      </c>
      <c r="D12" s="5">
        <v>9000.0</v>
      </c>
      <c r="E12" s="8">
        <v>100.0</v>
      </c>
      <c r="F12" s="5">
        <v>160.0</v>
      </c>
      <c r="G12" s="4">
        <f t="shared" si="7"/>
        <v>16000</v>
      </c>
      <c r="H12" s="5">
        <v>20.0</v>
      </c>
      <c r="I12" s="4">
        <f t="shared" si="3"/>
        <v>9000</v>
      </c>
      <c r="J12" s="4">
        <f t="shared" si="4"/>
        <v>750</v>
      </c>
      <c r="K12" s="4">
        <f t="shared" si="5"/>
        <v>6250</v>
      </c>
      <c r="L12" s="3" t="s">
        <v>15</v>
      </c>
      <c r="M12" s="3"/>
      <c r="N12" s="3" t="s">
        <v>16</v>
      </c>
      <c r="O12" s="3"/>
      <c r="P12" s="3"/>
      <c r="Q12" s="3"/>
      <c r="R12" s="3"/>
      <c r="S12" s="3"/>
    </row>
    <row r="13">
      <c r="A13" s="3" t="s">
        <v>34</v>
      </c>
      <c r="B13" s="4">
        <v>5000.0</v>
      </c>
      <c r="C13" s="4">
        <f t="shared" si="1"/>
        <v>5833.333333</v>
      </c>
      <c r="D13" s="5">
        <v>5000.0</v>
      </c>
      <c r="E13" s="7">
        <v>80.0</v>
      </c>
      <c r="F13" s="5">
        <v>80.0</v>
      </c>
      <c r="G13" s="4">
        <f t="shared" si="7"/>
        <v>6400</v>
      </c>
      <c r="H13" s="5">
        <v>20.0</v>
      </c>
      <c r="I13" s="4">
        <f t="shared" si="3"/>
        <v>10000</v>
      </c>
      <c r="J13" s="4">
        <f t="shared" si="4"/>
        <v>833.3333333</v>
      </c>
      <c r="K13" s="4">
        <f t="shared" si="5"/>
        <v>566.6666667</v>
      </c>
      <c r="L13" s="3" t="s">
        <v>15</v>
      </c>
      <c r="M13" s="3"/>
      <c r="N13" s="3" t="s">
        <v>35</v>
      </c>
      <c r="O13" s="3"/>
      <c r="P13" s="3"/>
      <c r="Q13" s="3"/>
      <c r="R13" s="3"/>
      <c r="S13" s="3"/>
    </row>
    <row r="14">
      <c r="A14" s="3" t="s">
        <v>36</v>
      </c>
      <c r="B14" s="10">
        <v>11300.0</v>
      </c>
      <c r="C14" s="4">
        <f t="shared" si="1"/>
        <v>11300</v>
      </c>
      <c r="D14" s="4">
        <v>11300.0</v>
      </c>
      <c r="E14" s="8">
        <v>15000.0</v>
      </c>
      <c r="F14" s="5">
        <v>1.0</v>
      </c>
      <c r="G14" s="4">
        <f t="shared" si="7"/>
        <v>15000</v>
      </c>
      <c r="H14" s="5">
        <v>0.0</v>
      </c>
      <c r="I14" s="4">
        <f t="shared" si="3"/>
        <v>0</v>
      </c>
      <c r="J14" s="4">
        <f t="shared" si="4"/>
        <v>0</v>
      </c>
      <c r="K14" s="4">
        <f t="shared" si="5"/>
        <v>3700</v>
      </c>
      <c r="L14" s="3" t="s">
        <v>37</v>
      </c>
      <c r="M14" s="3" t="s">
        <v>38</v>
      </c>
      <c r="N14" s="3" t="s">
        <v>39</v>
      </c>
      <c r="O14" s="3"/>
      <c r="P14" s="3"/>
      <c r="Q14" s="3"/>
      <c r="R14" s="3"/>
      <c r="S14" s="3"/>
    </row>
    <row r="15">
      <c r="A15" s="3" t="s">
        <v>40</v>
      </c>
      <c r="B15" s="4">
        <v>8439.63</v>
      </c>
      <c r="C15" s="4">
        <f t="shared" si="1"/>
        <v>9142.9325</v>
      </c>
      <c r="D15" s="5">
        <v>5500.0</v>
      </c>
      <c r="E15" s="8">
        <v>75.0</v>
      </c>
      <c r="F15" s="5">
        <v>160.0</v>
      </c>
      <c r="G15" s="4">
        <f t="shared" si="7"/>
        <v>12000</v>
      </c>
      <c r="H15" s="5">
        <v>20.0</v>
      </c>
      <c r="I15" s="4">
        <f t="shared" si="3"/>
        <v>8439.63</v>
      </c>
      <c r="J15" s="4">
        <f t="shared" si="4"/>
        <v>703.3025</v>
      </c>
      <c r="K15" s="4">
        <f t="shared" si="5"/>
        <v>2857.0675</v>
      </c>
      <c r="L15" s="3" t="s">
        <v>19</v>
      </c>
      <c r="M15" s="3"/>
      <c r="N15" s="3" t="s">
        <v>31</v>
      </c>
      <c r="O15" s="3"/>
      <c r="P15" s="3"/>
      <c r="Q15" s="3"/>
      <c r="R15" s="3"/>
      <c r="S15" s="3"/>
    </row>
    <row r="16">
      <c r="A16" s="3" t="s">
        <v>41</v>
      </c>
      <c r="B16" s="4">
        <v>8060.0</v>
      </c>
      <c r="C16" s="4">
        <f t="shared" si="1"/>
        <v>8731.666667</v>
      </c>
      <c r="D16" s="5">
        <v>5500.0</v>
      </c>
      <c r="E16" s="11">
        <v>80.0</v>
      </c>
      <c r="F16" s="5">
        <v>160.0</v>
      </c>
      <c r="G16" s="4">
        <f t="shared" si="7"/>
        <v>12800</v>
      </c>
      <c r="H16" s="5">
        <v>20.0</v>
      </c>
      <c r="I16" s="4">
        <f t="shared" si="3"/>
        <v>8060</v>
      </c>
      <c r="J16" s="4">
        <f t="shared" si="4"/>
        <v>671.6666667</v>
      </c>
      <c r="K16" s="4">
        <f t="shared" si="5"/>
        <v>4068.333333</v>
      </c>
      <c r="L16" s="3" t="s">
        <v>15</v>
      </c>
      <c r="M16" s="3"/>
      <c r="N16" s="3" t="s">
        <v>29</v>
      </c>
      <c r="O16" s="3"/>
      <c r="P16" s="3"/>
      <c r="Q16" s="3"/>
      <c r="R16" s="3"/>
      <c r="S16" s="3"/>
    </row>
    <row r="17">
      <c r="A17" s="3" t="s">
        <v>42</v>
      </c>
      <c r="B17" s="4">
        <v>5600.0</v>
      </c>
      <c r="C17" s="4">
        <f t="shared" si="1"/>
        <v>6066.666667</v>
      </c>
      <c r="D17" s="5">
        <v>5600.0</v>
      </c>
      <c r="E17" s="6">
        <v>30.0</v>
      </c>
      <c r="F17" s="5">
        <v>160.0</v>
      </c>
      <c r="G17" s="4">
        <f t="shared" si="7"/>
        <v>4800</v>
      </c>
      <c r="H17" s="5">
        <v>20.0</v>
      </c>
      <c r="I17" s="4">
        <f t="shared" si="3"/>
        <v>5600</v>
      </c>
      <c r="J17" s="4">
        <f t="shared" si="4"/>
        <v>466.6666667</v>
      </c>
      <c r="K17" s="4">
        <f t="shared" si="5"/>
        <v>-1266.666667</v>
      </c>
      <c r="L17" s="3"/>
      <c r="M17" s="3"/>
      <c r="N17" s="3"/>
      <c r="O17" s="3"/>
      <c r="P17" s="4">
        <f>SUM(K2:K23)</f>
        <v>62426.29</v>
      </c>
      <c r="Q17" s="3"/>
      <c r="R17" s="3"/>
      <c r="S17" s="3"/>
    </row>
    <row r="18">
      <c r="A18" s="3" t="s">
        <v>43</v>
      </c>
      <c r="B18" s="4">
        <v>14000.0</v>
      </c>
      <c r="C18" s="4">
        <f t="shared" si="1"/>
        <v>15166.66667</v>
      </c>
      <c r="D18" s="5">
        <v>14000.0</v>
      </c>
      <c r="E18" s="8">
        <v>125.0</v>
      </c>
      <c r="F18" s="5">
        <v>160.0</v>
      </c>
      <c r="G18" s="4">
        <f t="shared" si="7"/>
        <v>20000</v>
      </c>
      <c r="H18" s="5">
        <v>20.0</v>
      </c>
      <c r="I18" s="4">
        <f t="shared" si="3"/>
        <v>14000</v>
      </c>
      <c r="J18" s="4">
        <f t="shared" si="4"/>
        <v>1166.666667</v>
      </c>
      <c r="K18" s="4">
        <f t="shared" si="5"/>
        <v>4833.333333</v>
      </c>
      <c r="L18" s="3" t="s">
        <v>15</v>
      </c>
      <c r="M18" s="3"/>
      <c r="N18" s="3" t="s">
        <v>29</v>
      </c>
      <c r="O18" s="3"/>
      <c r="P18" s="3"/>
      <c r="Q18" s="3"/>
      <c r="R18" s="3"/>
      <c r="S18" s="3"/>
    </row>
    <row r="19">
      <c r="A19" s="3" t="s">
        <v>44</v>
      </c>
      <c r="B19" s="4">
        <v>5500.0</v>
      </c>
      <c r="C19" s="4">
        <f t="shared" si="1"/>
        <v>5958.333333</v>
      </c>
      <c r="D19" s="5">
        <v>5500.0</v>
      </c>
      <c r="E19" s="6">
        <v>30.0</v>
      </c>
      <c r="F19" s="5">
        <v>160.0</v>
      </c>
      <c r="G19" s="4">
        <f t="shared" si="7"/>
        <v>4800</v>
      </c>
      <c r="H19" s="5">
        <v>20.0</v>
      </c>
      <c r="I19" s="4">
        <f t="shared" si="3"/>
        <v>5500</v>
      </c>
      <c r="J19" s="4">
        <f t="shared" si="4"/>
        <v>458.3333333</v>
      </c>
      <c r="K19" s="4">
        <f t="shared" si="5"/>
        <v>-1158.333333</v>
      </c>
      <c r="L19" s="3" t="s">
        <v>15</v>
      </c>
      <c r="M19" s="3"/>
      <c r="N19" s="12" t="s">
        <v>45</v>
      </c>
      <c r="O19" s="3"/>
      <c r="P19" s="3"/>
      <c r="Q19" s="3"/>
      <c r="R19" s="3"/>
      <c r="S19" s="3"/>
    </row>
    <row r="20">
      <c r="A20" s="3" t="s">
        <v>46</v>
      </c>
      <c r="B20" s="4">
        <v>14000.0</v>
      </c>
      <c r="C20" s="4">
        <f t="shared" si="1"/>
        <v>15166.66667</v>
      </c>
      <c r="D20" s="5">
        <v>7500.0</v>
      </c>
      <c r="E20" s="8">
        <v>130.0</v>
      </c>
      <c r="F20" s="5">
        <v>160.0</v>
      </c>
      <c r="G20" s="4">
        <f t="shared" si="7"/>
        <v>20800</v>
      </c>
      <c r="H20" s="5">
        <v>20.0</v>
      </c>
      <c r="I20" s="4">
        <f t="shared" si="3"/>
        <v>14000</v>
      </c>
      <c r="J20" s="4">
        <f t="shared" si="4"/>
        <v>1166.666667</v>
      </c>
      <c r="K20" s="4">
        <f t="shared" si="5"/>
        <v>5633.333333</v>
      </c>
      <c r="L20" s="3" t="s">
        <v>19</v>
      </c>
      <c r="M20" s="3"/>
      <c r="N20" s="3" t="s">
        <v>22</v>
      </c>
      <c r="O20" s="3"/>
      <c r="P20" s="3"/>
      <c r="Q20" s="3"/>
      <c r="R20" s="3"/>
      <c r="S20" s="3"/>
    </row>
    <row r="21">
      <c r="A21" s="3" t="s">
        <v>47</v>
      </c>
      <c r="B21" s="4">
        <v>4666.0</v>
      </c>
      <c r="C21" s="4">
        <f t="shared" si="1"/>
        <v>4666</v>
      </c>
      <c r="D21" s="5">
        <v>4666.0</v>
      </c>
      <c r="E21" s="6">
        <v>30.0</v>
      </c>
      <c r="F21" s="5">
        <v>160.0</v>
      </c>
      <c r="G21" s="4">
        <f t="shared" si="7"/>
        <v>4800</v>
      </c>
      <c r="H21" s="5">
        <v>0.0</v>
      </c>
      <c r="I21" s="4">
        <f t="shared" si="3"/>
        <v>0</v>
      </c>
      <c r="J21" s="4">
        <f t="shared" si="4"/>
        <v>0</v>
      </c>
      <c r="K21" s="4">
        <f t="shared" si="5"/>
        <v>134</v>
      </c>
      <c r="L21" s="3" t="s">
        <v>15</v>
      </c>
      <c r="M21" s="3"/>
      <c r="N21" s="13" t="s">
        <v>16</v>
      </c>
      <c r="O21" s="3"/>
      <c r="P21" s="3"/>
      <c r="Q21" s="3"/>
      <c r="R21" s="3"/>
      <c r="S21" s="3"/>
    </row>
    <row r="22">
      <c r="A22" s="3" t="s">
        <v>48</v>
      </c>
      <c r="B22" s="4">
        <v>6000.0</v>
      </c>
      <c r="C22" s="4">
        <f t="shared" si="1"/>
        <v>6000</v>
      </c>
      <c r="D22" s="5">
        <v>6000.0</v>
      </c>
      <c r="E22" s="8">
        <v>70.0</v>
      </c>
      <c r="F22" s="5">
        <v>160.0</v>
      </c>
      <c r="G22" s="4">
        <f t="shared" si="7"/>
        <v>11200</v>
      </c>
      <c r="H22" s="5">
        <v>0.0</v>
      </c>
      <c r="I22" s="4">
        <f t="shared" si="3"/>
        <v>0</v>
      </c>
      <c r="J22" s="4">
        <f t="shared" si="4"/>
        <v>0</v>
      </c>
      <c r="K22" s="4">
        <f t="shared" si="5"/>
        <v>5200</v>
      </c>
      <c r="L22" s="3" t="s">
        <v>15</v>
      </c>
      <c r="M22" s="3"/>
      <c r="N22" s="3" t="s">
        <v>27</v>
      </c>
      <c r="O22" s="3"/>
      <c r="P22" s="3"/>
      <c r="Q22" s="3"/>
      <c r="R22" s="3"/>
      <c r="S22" s="3"/>
    </row>
    <row r="23">
      <c r="A23" s="3"/>
      <c r="B23" s="14"/>
      <c r="C23" s="3"/>
      <c r="D23" s="3"/>
      <c r="E23" s="3"/>
      <c r="F23" s="3"/>
      <c r="G23" s="14"/>
      <c r="H23" s="3"/>
      <c r="I23" s="3"/>
      <c r="J23" s="3"/>
      <c r="K23" s="14"/>
      <c r="L23" s="3"/>
      <c r="M23" s="3"/>
      <c r="N23" s="3"/>
      <c r="O23" s="3"/>
      <c r="P23" s="3"/>
      <c r="Q23" s="3"/>
      <c r="R23" s="3"/>
      <c r="S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>
      <c r="A25" s="15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>
      <c r="A29" s="3" t="s">
        <v>49</v>
      </c>
      <c r="B29" s="16">
        <v>5000.0</v>
      </c>
      <c r="C29" s="4">
        <f t="shared" ref="C29:C30" si="8">B29+J29</f>
        <v>5000</v>
      </c>
      <c r="D29" s="5">
        <v>0.0</v>
      </c>
      <c r="E29" s="6">
        <v>30.0</v>
      </c>
      <c r="F29" s="5">
        <v>160.0</v>
      </c>
      <c r="G29" s="4">
        <f t="shared" ref="G29:G30" si="9">E29*F29</f>
        <v>4800</v>
      </c>
      <c r="H29" s="5">
        <v>0.0</v>
      </c>
      <c r="I29" s="4">
        <f t="shared" ref="I29:I30" si="10">H29*8*B29/F29</f>
        <v>0</v>
      </c>
      <c r="J29" s="4">
        <f t="shared" ref="J29:J30" si="11">I29/12</f>
        <v>0</v>
      </c>
      <c r="K29" s="4">
        <f t="shared" ref="K29:K30" si="12">G29-C29</f>
        <v>-200</v>
      </c>
      <c r="L29" s="3" t="s">
        <v>15</v>
      </c>
      <c r="M29" s="3"/>
      <c r="N29" s="13" t="s">
        <v>16</v>
      </c>
      <c r="O29" s="3"/>
      <c r="P29" s="3"/>
      <c r="Q29" s="3"/>
      <c r="R29" s="3"/>
      <c r="S29" s="3"/>
    </row>
    <row r="30">
      <c r="A30" s="3" t="s">
        <v>50</v>
      </c>
      <c r="B30" s="16">
        <v>5000.0</v>
      </c>
      <c r="C30" s="4">
        <f t="shared" si="8"/>
        <v>5000</v>
      </c>
      <c r="D30" s="5">
        <v>0.0</v>
      </c>
      <c r="E30" s="6">
        <v>30.0</v>
      </c>
      <c r="F30" s="5">
        <v>160.0</v>
      </c>
      <c r="G30" s="4">
        <f t="shared" si="9"/>
        <v>4800</v>
      </c>
      <c r="H30" s="5">
        <v>0.0</v>
      </c>
      <c r="I30" s="4">
        <f t="shared" si="10"/>
        <v>0</v>
      </c>
      <c r="J30" s="4">
        <f t="shared" si="11"/>
        <v>0</v>
      </c>
      <c r="K30" s="4">
        <f t="shared" si="12"/>
        <v>-200</v>
      </c>
      <c r="L30" s="3" t="s">
        <v>15</v>
      </c>
      <c r="M30" s="3"/>
      <c r="N30" s="13" t="s">
        <v>16</v>
      </c>
      <c r="O30" s="3"/>
      <c r="P30" s="3"/>
      <c r="Q30" s="3"/>
      <c r="R30" s="3"/>
      <c r="S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>
      <c r="A36" s="3" t="s">
        <v>51</v>
      </c>
      <c r="B36" s="4">
        <v>17000.0</v>
      </c>
      <c r="C36" s="4">
        <v>17000.0</v>
      </c>
      <c r="D36" s="4">
        <f>C36+K36</f>
        <v>0</v>
      </c>
      <c r="E36" s="4">
        <v>0.0</v>
      </c>
      <c r="F36" s="5">
        <v>0.0</v>
      </c>
      <c r="G36" s="4">
        <f t="shared" ref="G36:G41" si="13">E36*F36</f>
        <v>0</v>
      </c>
      <c r="H36" s="5">
        <v>0.0</v>
      </c>
      <c r="I36" s="5">
        <v>0.0</v>
      </c>
      <c r="J36" s="5">
        <f t="shared" ref="J36:J37" si="14">I36/12</f>
        <v>0</v>
      </c>
      <c r="K36" s="4">
        <f t="shared" ref="K36:K41" si="15">G36-C36</f>
        <v>-17000</v>
      </c>
      <c r="L36" s="3" t="s">
        <v>52</v>
      </c>
      <c r="M36" s="3" t="s">
        <v>53</v>
      </c>
      <c r="N36" s="3"/>
      <c r="O36" s="3"/>
      <c r="P36" s="3"/>
      <c r="Q36" s="3"/>
      <c r="R36" s="3"/>
      <c r="S36" s="3"/>
    </row>
    <row r="37">
      <c r="A37" s="3" t="s">
        <v>54</v>
      </c>
      <c r="B37" s="4">
        <v>18696.0</v>
      </c>
      <c r="C37" s="4">
        <f t="shared" ref="C37:C41" si="16">B37+J37</f>
        <v>18696</v>
      </c>
      <c r="D37" s="3"/>
      <c r="E37" s="16">
        <v>160.0</v>
      </c>
      <c r="F37" s="5">
        <v>160.0</v>
      </c>
      <c r="G37" s="4">
        <f t="shared" si="13"/>
        <v>25600</v>
      </c>
      <c r="H37" s="5">
        <v>0.0</v>
      </c>
      <c r="I37" s="4">
        <f>H37*8*B37/F37</f>
        <v>0</v>
      </c>
      <c r="J37" s="4">
        <f t="shared" si="14"/>
        <v>0</v>
      </c>
      <c r="K37" s="4">
        <f t="shared" si="15"/>
        <v>6904</v>
      </c>
      <c r="L37" s="3" t="s">
        <v>55</v>
      </c>
      <c r="M37" s="3" t="s">
        <v>56</v>
      </c>
      <c r="N37" s="3" t="s">
        <v>22</v>
      </c>
      <c r="O37" s="3"/>
      <c r="P37" s="3"/>
      <c r="Q37" s="3"/>
      <c r="R37" s="3"/>
      <c r="S37" s="3"/>
    </row>
    <row r="38">
      <c r="A38" s="3" t="s">
        <v>57</v>
      </c>
      <c r="B38" s="4">
        <v>13600.0</v>
      </c>
      <c r="C38" s="4">
        <f t="shared" si="16"/>
        <v>13600</v>
      </c>
      <c r="D38" s="3"/>
      <c r="E38" s="4">
        <v>130.0</v>
      </c>
      <c r="F38" s="5">
        <v>160.0</v>
      </c>
      <c r="G38" s="4">
        <f t="shared" si="13"/>
        <v>20800</v>
      </c>
      <c r="H38" s="5">
        <v>0.0</v>
      </c>
      <c r="I38" s="3"/>
      <c r="J38" s="3"/>
      <c r="K38" s="4">
        <f t="shared" si="15"/>
        <v>7200</v>
      </c>
      <c r="L38" s="3"/>
      <c r="M38" s="3" t="s">
        <v>56</v>
      </c>
      <c r="N38" s="3" t="s">
        <v>22</v>
      </c>
      <c r="O38" s="3" t="s">
        <v>58</v>
      </c>
      <c r="P38" s="3"/>
      <c r="Q38" s="3"/>
      <c r="R38" s="3"/>
      <c r="S38" s="3"/>
    </row>
    <row r="39">
      <c r="A39" s="3" t="s">
        <v>59</v>
      </c>
      <c r="B39" s="4">
        <v>22400.0</v>
      </c>
      <c r="C39" s="4">
        <f t="shared" si="16"/>
        <v>22400</v>
      </c>
      <c r="D39" s="3"/>
      <c r="E39" s="16">
        <v>170.0</v>
      </c>
      <c r="F39" s="5">
        <v>160.0</v>
      </c>
      <c r="G39" s="4">
        <f t="shared" si="13"/>
        <v>27200</v>
      </c>
      <c r="H39" s="5">
        <v>0.0</v>
      </c>
      <c r="I39" s="4">
        <f>H39*8*B39/F39</f>
        <v>0</v>
      </c>
      <c r="J39" s="4">
        <f>I39/12</f>
        <v>0</v>
      </c>
      <c r="K39" s="4">
        <f t="shared" si="15"/>
        <v>4800</v>
      </c>
      <c r="L39" s="3" t="s">
        <v>52</v>
      </c>
      <c r="M39" s="3" t="s">
        <v>56</v>
      </c>
      <c r="N39" s="3" t="s">
        <v>22</v>
      </c>
      <c r="O39" s="3"/>
      <c r="P39" s="3"/>
      <c r="Q39" s="3"/>
      <c r="R39" s="3"/>
      <c r="S39" s="3"/>
    </row>
    <row r="40">
      <c r="A40" s="3" t="s">
        <v>60</v>
      </c>
      <c r="B40" s="4">
        <v>13600.0</v>
      </c>
      <c r="C40" s="4">
        <f t="shared" si="16"/>
        <v>13600</v>
      </c>
      <c r="D40" s="3"/>
      <c r="E40" s="4">
        <v>130.0</v>
      </c>
      <c r="F40" s="5">
        <v>160.0</v>
      </c>
      <c r="G40" s="4">
        <f t="shared" si="13"/>
        <v>20800</v>
      </c>
      <c r="H40" s="5">
        <v>0.0</v>
      </c>
      <c r="I40" s="3"/>
      <c r="J40" s="3"/>
      <c r="K40" s="4">
        <f t="shared" si="15"/>
        <v>7200</v>
      </c>
      <c r="L40" s="3" t="s">
        <v>61</v>
      </c>
      <c r="M40" s="3"/>
      <c r="N40" s="3"/>
      <c r="O40" s="3"/>
      <c r="P40" s="3"/>
      <c r="Q40" s="3"/>
      <c r="R40" s="3"/>
      <c r="S40" s="3"/>
    </row>
    <row r="41">
      <c r="A41" s="3" t="s">
        <v>62</v>
      </c>
      <c r="B41" s="4">
        <v>12000.0</v>
      </c>
      <c r="C41" s="4">
        <f t="shared" si="16"/>
        <v>12000</v>
      </c>
      <c r="D41" s="3"/>
      <c r="E41" s="16">
        <v>150.0</v>
      </c>
      <c r="F41" s="5">
        <v>160.0</v>
      </c>
      <c r="G41" s="4">
        <f t="shared" si="13"/>
        <v>24000</v>
      </c>
      <c r="H41" s="5">
        <v>0.0</v>
      </c>
      <c r="I41" s="3"/>
      <c r="J41" s="3"/>
      <c r="K41" s="4">
        <f t="shared" si="15"/>
        <v>12000</v>
      </c>
      <c r="L41" s="3"/>
      <c r="M41" s="3"/>
      <c r="N41" s="3"/>
      <c r="O41" s="3"/>
      <c r="P41" s="3"/>
      <c r="Q41" s="3"/>
      <c r="R41" s="3"/>
      <c r="S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>
      <c r="A43" s="3" t="s">
        <v>63</v>
      </c>
      <c r="B43" s="4">
        <v>7000.0</v>
      </c>
      <c r="C43" s="4">
        <f>B43+J43</f>
        <v>7000</v>
      </c>
      <c r="D43" s="5">
        <v>4884.0</v>
      </c>
      <c r="E43" s="17">
        <v>0.0</v>
      </c>
      <c r="F43" s="5">
        <v>160.0</v>
      </c>
      <c r="G43" s="4">
        <f>E43*F43</f>
        <v>0</v>
      </c>
      <c r="H43" s="5">
        <v>0.0</v>
      </c>
      <c r="I43" s="4">
        <f>H43*8*B43/F43</f>
        <v>0</v>
      </c>
      <c r="J43" s="4">
        <f>I43/12</f>
        <v>0</v>
      </c>
      <c r="K43" s="4">
        <f>G43-C43</f>
        <v>-7000</v>
      </c>
      <c r="L43" s="3" t="s">
        <v>37</v>
      </c>
      <c r="M43" s="3"/>
      <c r="N43" s="3"/>
      <c r="O43" s="3"/>
      <c r="P43" s="3"/>
      <c r="Q43" s="3"/>
      <c r="R43" s="3"/>
      <c r="S43" s="3"/>
    </row>
    <row r="44">
      <c r="A44" s="3" t="s">
        <v>64</v>
      </c>
      <c r="B44" s="14"/>
      <c r="C44" s="3"/>
      <c r="D44" s="3"/>
      <c r="E44" s="14"/>
      <c r="F44" s="3"/>
      <c r="G44" s="14"/>
      <c r="H44" s="3"/>
      <c r="I44" s="3"/>
      <c r="J44" s="3"/>
      <c r="K44" s="4">
        <v>-4000.0</v>
      </c>
      <c r="L44" s="3" t="s">
        <v>65</v>
      </c>
      <c r="M44" s="3"/>
      <c r="N44" s="3" t="s">
        <v>66</v>
      </c>
      <c r="O44" s="3"/>
      <c r="P44" s="3"/>
      <c r="Q44" s="3"/>
      <c r="R44" s="3"/>
      <c r="S44" s="3"/>
    </row>
    <row r="45">
      <c r="A45" s="3" t="s">
        <v>67</v>
      </c>
      <c r="B45" s="3"/>
      <c r="C45" s="3"/>
      <c r="D45" s="3"/>
      <c r="E45" s="3"/>
      <c r="F45" s="3"/>
      <c r="G45" s="3"/>
      <c r="H45" s="3"/>
      <c r="I45" s="3"/>
      <c r="J45" s="3"/>
      <c r="K45" s="5">
        <v>-10000.0</v>
      </c>
      <c r="L45" s="3"/>
      <c r="M45" s="3"/>
      <c r="N45" s="3"/>
      <c r="O45" s="3"/>
      <c r="P45" s="3"/>
      <c r="Q45" s="3"/>
      <c r="R45" s="3"/>
      <c r="S45" s="3"/>
    </row>
    <row r="46">
      <c r="A46" s="3"/>
      <c r="B46" s="3"/>
      <c r="C46" s="3"/>
      <c r="D46" s="3"/>
      <c r="E46" s="3"/>
      <c r="F46" s="3"/>
      <c r="G46" s="3"/>
      <c r="H46" s="3"/>
      <c r="I46" s="4">
        <f>SUM(I2:I41)</f>
        <v>189644.04</v>
      </c>
      <c r="J46" s="3"/>
      <c r="K46" s="4">
        <f>SUM(K2:K45)</f>
        <v>62130.29</v>
      </c>
      <c r="L46" s="3"/>
      <c r="M46" s="3"/>
      <c r="N46" s="3"/>
      <c r="O46" s="3"/>
      <c r="P46" s="3"/>
      <c r="Q46" s="3"/>
      <c r="R46" s="3"/>
      <c r="S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>
      <c r="A50" s="18"/>
      <c r="B50" s="3"/>
      <c r="C50" s="18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>
      <c r="A51" s="13" t="s">
        <v>68</v>
      </c>
      <c r="B51" s="5">
        <v>30.75</v>
      </c>
      <c r="C51" s="19">
        <v>144.0</v>
      </c>
      <c r="D51" s="5">
        <f t="shared" ref="D51:D56" si="17">B51*C51</f>
        <v>4428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>
      <c r="A52" s="20" t="s">
        <v>69</v>
      </c>
      <c r="B52" s="5">
        <v>46.0</v>
      </c>
      <c r="C52" s="5">
        <v>129.0</v>
      </c>
      <c r="D52" s="5">
        <f t="shared" si="17"/>
        <v>5934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>
      <c r="A53" s="3" t="s">
        <v>70</v>
      </c>
      <c r="B53" s="5">
        <v>41.2</v>
      </c>
      <c r="C53" s="19">
        <v>0.0</v>
      </c>
      <c r="D53" s="5">
        <f t="shared" si="17"/>
        <v>0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>
      <c r="A54" s="3" t="s">
        <v>71</v>
      </c>
      <c r="B54" s="5">
        <v>50.0</v>
      </c>
      <c r="C54" s="5">
        <v>120.0</v>
      </c>
      <c r="D54" s="5">
        <f t="shared" si="17"/>
        <v>6000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>
      <c r="A55" s="3" t="s">
        <v>72</v>
      </c>
      <c r="B55" s="5">
        <v>51.0</v>
      </c>
      <c r="C55" s="5">
        <v>72.0</v>
      </c>
      <c r="D55" s="5">
        <f t="shared" si="17"/>
        <v>3672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>
      <c r="A56" s="3" t="s">
        <v>73</v>
      </c>
      <c r="B56" s="5">
        <v>38.0</v>
      </c>
      <c r="C56" s="5">
        <v>160.0</v>
      </c>
      <c r="D56" s="5">
        <f t="shared" si="17"/>
        <v>6080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>
      <c r="A57" s="3"/>
      <c r="B57" s="3"/>
      <c r="C57" s="3"/>
      <c r="D57" s="5">
        <f>SUM(D51:D56)</f>
        <v>26114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>
      <c r="A59" s="3" t="s">
        <v>74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>
      <c r="A60" s="3" t="s">
        <v>75</v>
      </c>
      <c r="B60" s="5">
        <v>9500.0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>
      <c r="A61" s="3" t="s">
        <v>76</v>
      </c>
      <c r="B61" s="5">
        <v>5600.0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>
      <c r="A62" s="3" t="s">
        <v>77</v>
      </c>
      <c r="B62" s="5">
        <v>5600.0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>
      <c r="A63" s="3" t="s">
        <v>76</v>
      </c>
      <c r="B63" s="5">
        <v>6000.0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>
      <c r="A64" s="3" t="s">
        <v>78</v>
      </c>
      <c r="B64" s="5">
        <v>4666.0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>
      <c r="A66" s="3" t="s">
        <v>79</v>
      </c>
      <c r="B66" s="5">
        <v>4666.0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>
      <c r="A67" s="3" t="s">
        <v>80</v>
      </c>
      <c r="B67" s="5">
        <v>4666.0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>
      <c r="A68" s="3"/>
      <c r="B68" s="5">
        <f>SUM(B60:B64)</f>
        <v>31366</v>
      </c>
      <c r="C68" s="5">
        <f>SUM(B60:B67)</f>
        <v>40698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</sheetData>
  <drawing r:id="rId1"/>
</worksheet>
</file>